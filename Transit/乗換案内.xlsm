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Sheets1" sheetId="1" r:id="rId1"/>
  </sheets>
  <functionGroups builtInGroupCount="18"/>
  <definedNames>
    <definedName name="te">Sheets1!$H$12:$H$14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" l="1"/>
  <c r="G5" i="1"/>
  <c r="L3" i="1"/>
  <c r="J3" i="1"/>
  <c r="G3" i="1"/>
</calcChain>
</file>

<file path=xl/sharedStrings.xml><?xml version="1.0" encoding="utf-8"?>
<sst xmlns="http://schemas.openxmlformats.org/spreadsheetml/2006/main" count="14" uniqueCount="13">
  <si>
    <t>乗換案内</t>
    <rPh sb="0" eb="2">
      <t>ノリカエ</t>
    </rPh>
    <rPh sb="2" eb="4">
      <t>アンナイ</t>
    </rPh>
    <phoneticPr fontId="1"/>
  </si>
  <si>
    <t>出発:</t>
    <rPh sb="0" eb="2">
      <t>シュッパツ</t>
    </rPh>
    <phoneticPr fontId="1"/>
  </si>
  <si>
    <t>到着:</t>
    <rPh sb="0" eb="2">
      <t>トウチャク</t>
    </rPh>
    <phoneticPr fontId="1"/>
  </si>
  <si>
    <t>駅</t>
    <rPh sb="0" eb="1">
      <t>エキ</t>
    </rPh>
    <phoneticPr fontId="1"/>
  </si>
  <si>
    <t>月</t>
    <rPh sb="0" eb="1">
      <t>ツキ</t>
    </rPh>
    <phoneticPr fontId="1"/>
  </si>
  <si>
    <t>日</t>
    <rPh sb="0" eb="1">
      <t>ニチ</t>
    </rPh>
    <phoneticPr fontId="1"/>
  </si>
  <si>
    <t>時</t>
    <rPh sb="0" eb="1">
      <t>ジ</t>
    </rPh>
    <phoneticPr fontId="1"/>
  </si>
  <si>
    <t>分</t>
    <rPh sb="0" eb="1">
      <t>フン</t>
    </rPh>
    <phoneticPr fontId="1"/>
  </si>
  <si>
    <t>出発日</t>
    <rPh sb="0" eb="2">
      <t>シュッパツ</t>
    </rPh>
    <rPh sb="2" eb="3">
      <t>ビ</t>
    </rPh>
    <phoneticPr fontId="1"/>
  </si>
  <si>
    <t>出発時刻</t>
    <rPh sb="0" eb="2">
      <t>シュッパツ</t>
    </rPh>
    <rPh sb="2" eb="4">
      <t>ジコク</t>
    </rPh>
    <phoneticPr fontId="1"/>
  </si>
  <si>
    <t>年</t>
    <rPh sb="0" eb="1">
      <t>ネン</t>
    </rPh>
    <phoneticPr fontId="1"/>
  </si>
  <si>
    <t>検索方法</t>
    <rPh sb="0" eb="2">
      <t>ケンサク</t>
    </rPh>
    <rPh sb="2" eb="4">
      <t>ホウホウ</t>
    </rPh>
    <phoneticPr fontId="1"/>
  </si>
  <si>
    <t>交通手段</t>
    <rPh sb="0" eb="2">
      <t>コウツウ</t>
    </rPh>
    <rPh sb="2" eb="4">
      <t>シュダン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</si>
</sst>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 "/>
    <numFmt numFmtId="177" formatCode="0_);[Red]\(0\)"/>
  </numFmts>
  <fonts count="7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b/>
      <sz val="20"/>
      <color theme="0"/>
      <name val="游ゴシック"/>
      <family val="3"/>
      <charset val="128"/>
    </font>
    <font>
      <sz val="11"/>
      <color rgb="FFCEE4FE"/>
      <name val="游ゴシック"/>
      <family val="2"/>
      <scheme val="minor"/>
    </font>
    <font>
      <sz val="9"/>
      <color rgb="FF00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CEE4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9C6FD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3" borderId="0" xfId="0" applyFill="1" applyBorder="1"/>
    <xf numFmtId="0" fontId="0" fillId="3" borderId="5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3" fillId="4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0" fillId="3" borderId="0" xfId="0" applyFill="1" applyBorder="1" applyAlignment="1"/>
    <xf numFmtId="0" fontId="5" fillId="3" borderId="0" xfId="0" applyFont="1" applyFill="1" applyBorder="1"/>
    <xf numFmtId="177" fontId="0" fillId="0" borderId="7" xfId="0" applyNumberFormat="1" applyFill="1" applyBorder="1" applyAlignment="1">
      <alignment horizontal="center" vertical="center"/>
    </xf>
    <xf numFmtId="177" fontId="0" fillId="0" borderId="10" xfId="0" applyNumberFormat="1" applyFill="1" applyBorder="1" applyAlignment="1">
      <alignment horizontal="center" vertical="center"/>
    </xf>
    <xf numFmtId="0" fontId="0" fillId="3" borderId="2" xfId="0" applyFill="1" applyBorder="1"/>
    <xf numFmtId="0" fontId="0" fillId="3" borderId="15" xfId="0" applyFill="1" applyBorder="1"/>
    <xf numFmtId="0" fontId="4" fillId="2" borderId="12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1" xfId="0" applyNumberFormat="1" applyFill="1" applyBorder="1" applyAlignment="1">
      <alignment horizontal="right"/>
    </xf>
    <xf numFmtId="176" fontId="0" fillId="0" borderId="9" xfId="0" applyNumberFormat="1" applyFill="1" applyBorder="1" applyAlignment="1">
      <alignment horizontal="right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EE4FE"/>
      <color rgb="FFDDDDDD"/>
      <color rgb="FF99C6FD"/>
      <color rgb="FFD2D6FA"/>
      <color rgb="FFF7F7F7"/>
      <color rgb="FFC9C9C9"/>
      <color rgb="FFC2C2C2"/>
      <color rgb="FFAEAE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O$7" lockText="1" noThreeD="1"/>
</file>

<file path=xl/ctrlProps/ctrlProp4.xml><?xml version="1.0" encoding="utf-8"?>
<formControlPr xmlns="http://schemas.microsoft.com/office/spreadsheetml/2009/9/main" objectType="Radio" firstButton="1" fmlaLink="$G$7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CheckBox" checked="Checked" fmlaLink="$O$9" lockText="1" noThreeD="1"/>
</file>

<file path=xl/ctrlProps/ctrlProp7.xml><?xml version="1.0" encoding="utf-8"?>
<formControlPr xmlns="http://schemas.microsoft.com/office/spreadsheetml/2009/9/main" objectType="CheckBox" fmlaLink="$P$8" lockText="1" noThreeD="1"/>
</file>

<file path=xl/ctrlProps/ctrlProp8.xml><?xml version="1.0" encoding="utf-8"?>
<formControlPr xmlns="http://schemas.microsoft.com/office/spreadsheetml/2009/9/main" objectType="CheckBox" fmlaLink="$O$10" lockText="1" noThreeD="1"/>
</file>

<file path=xl/ctrlProps/ctrlProp9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9</xdr:row>
          <xdr:rowOff>228600</xdr:rowOff>
        </xdr:from>
        <xdr:to>
          <xdr:col>5</xdr:col>
          <xdr:colOff>457200</xdr:colOff>
          <xdr:row>11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9</xdr:row>
          <xdr:rowOff>209550</xdr:rowOff>
        </xdr:from>
        <xdr:to>
          <xdr:col>12</xdr:col>
          <xdr:colOff>104775</xdr:colOff>
          <xdr:row>11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出力結果をリセット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6</xdr:row>
          <xdr:rowOff>9525</xdr:rowOff>
        </xdr:from>
        <xdr:to>
          <xdr:col>15</xdr:col>
          <xdr:colOff>238125</xdr:colOff>
          <xdr:row>7</xdr:row>
          <xdr:rowOff>19050</xdr:rowOff>
        </xdr:to>
        <xdr:sp macro="" textlink="">
          <xdr:nvSpPr>
            <xdr:cNvPr id="1031" name="useBulletTrain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新幹線を使う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228600</xdr:rowOff>
        </xdr:from>
        <xdr:to>
          <xdr:col>9</xdr:col>
          <xdr:colOff>47625</xdr:colOff>
          <xdr:row>8</xdr:row>
          <xdr:rowOff>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到着日時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9525</xdr:rowOff>
        </xdr:from>
        <xdr:to>
          <xdr:col>8</xdr:col>
          <xdr:colOff>238125</xdr:colOff>
          <xdr:row>7</xdr:row>
          <xdr:rowOff>19050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出発日時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7</xdr:row>
          <xdr:rowOff>228600</xdr:rowOff>
        </xdr:from>
        <xdr:to>
          <xdr:col>15</xdr:col>
          <xdr:colOff>238125</xdr:colOff>
          <xdr:row>9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特急列車を使う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228600</xdr:rowOff>
        </xdr:from>
        <xdr:to>
          <xdr:col>17</xdr:col>
          <xdr:colOff>171450</xdr:colOff>
          <xdr:row>8</xdr:row>
          <xdr:rowOff>0</xdr:rowOff>
        </xdr:to>
        <xdr:sp macro="" textlink="">
          <xdr:nvSpPr>
            <xdr:cNvPr id="1035" name="excludingSome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東海道・山陽新幹線「のぞみ」を除く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8</xdr:row>
          <xdr:rowOff>209550</xdr:rowOff>
        </xdr:from>
        <xdr:to>
          <xdr:col>15</xdr:col>
          <xdr:colOff>238125</xdr:colOff>
          <xdr:row>9</xdr:row>
          <xdr:rowOff>219075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航空機を使う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228600</xdr:rowOff>
        </xdr:from>
        <xdr:to>
          <xdr:col>9</xdr:col>
          <xdr:colOff>190500</xdr:colOff>
          <xdr:row>9</xdr:row>
          <xdr:rowOff>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平均所要時間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V61"/>
  <sheetViews>
    <sheetView tabSelected="1" workbookViewId="0">
      <selection activeCell="B3" sqref="B3:C4"/>
    </sheetView>
  </sheetViews>
  <sheetFormatPr defaultRowHeight="18.75" x14ac:dyDescent="0.4"/>
  <cols>
    <col min="1" max="1" width="9.625" customWidth="1"/>
    <col min="2" max="3" width="9" customWidth="1"/>
    <col min="4" max="4" width="9.625" customWidth="1"/>
    <col min="5" max="5" width="9" customWidth="1"/>
    <col min="7" max="13" width="3.375" customWidth="1"/>
    <col min="14" max="14" width="3.125" customWidth="1"/>
  </cols>
  <sheetData>
    <row r="1" spans="1:17" ht="33" x14ac:dyDescent="0.4">
      <c r="A1" s="15" t="s">
        <v>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7"/>
    </row>
    <row r="2" spans="1:17" x14ac:dyDescent="0.4">
      <c r="A2" s="3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2"/>
    </row>
    <row r="3" spans="1:17" x14ac:dyDescent="0.4">
      <c r="A3" s="19" t="s">
        <v>1</v>
      </c>
      <c r="B3" s="20"/>
      <c r="C3" s="20"/>
      <c r="D3" s="19" t="s">
        <v>3</v>
      </c>
      <c r="E3" s="1"/>
      <c r="F3" s="9" t="s">
        <v>8</v>
      </c>
      <c r="G3" s="21">
        <f ca="1">YEAR(NOW())</f>
        <v>2018</v>
      </c>
      <c r="H3" s="22"/>
      <c r="I3" s="1" t="s">
        <v>10</v>
      </c>
      <c r="J3" s="11">
        <f ca="1">MONTH(NOW())</f>
        <v>6</v>
      </c>
      <c r="K3" s="8" t="s">
        <v>4</v>
      </c>
      <c r="L3" s="11">
        <f ca="1">DAY(NOW())</f>
        <v>15</v>
      </c>
      <c r="M3" s="7" t="s">
        <v>5</v>
      </c>
      <c r="N3" s="1"/>
      <c r="O3" s="1"/>
      <c r="P3" s="1"/>
      <c r="Q3" s="2"/>
    </row>
    <row r="4" spans="1:17" x14ac:dyDescent="0.4">
      <c r="A4" s="19"/>
      <c r="B4" s="20"/>
      <c r="C4" s="20"/>
      <c r="D4" s="19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2"/>
    </row>
    <row r="5" spans="1:17" x14ac:dyDescent="0.4">
      <c r="A5" s="14"/>
      <c r="B5" s="1"/>
      <c r="C5" s="1"/>
      <c r="D5" s="1"/>
      <c r="E5" s="1"/>
      <c r="F5" s="1" t="s">
        <v>9</v>
      </c>
      <c r="G5" s="11">
        <f ca="1">HOUR(NOW())</f>
        <v>17</v>
      </c>
      <c r="H5" s="8" t="s">
        <v>6</v>
      </c>
      <c r="I5" s="12">
        <f ca="1">MINUTE(NOW())</f>
        <v>46</v>
      </c>
      <c r="J5" s="7" t="s">
        <v>7</v>
      </c>
      <c r="K5" s="1"/>
      <c r="L5" s="1"/>
      <c r="M5" s="1"/>
      <c r="N5" s="1"/>
      <c r="O5" s="1"/>
      <c r="P5" s="1"/>
      <c r="Q5" s="2"/>
    </row>
    <row r="6" spans="1:17" x14ac:dyDescent="0.4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2"/>
    </row>
    <row r="7" spans="1:17" x14ac:dyDescent="0.4">
      <c r="A7" s="19" t="s">
        <v>2</v>
      </c>
      <c r="B7" s="20"/>
      <c r="C7" s="20"/>
      <c r="D7" s="19" t="s">
        <v>3</v>
      </c>
      <c r="E7" s="1"/>
      <c r="F7" s="1" t="s">
        <v>11</v>
      </c>
      <c r="G7" s="10">
        <v>2</v>
      </c>
      <c r="H7" s="1"/>
      <c r="I7" s="1"/>
      <c r="J7" s="1"/>
      <c r="K7" s="1"/>
      <c r="L7" s="18" t="s">
        <v>12</v>
      </c>
      <c r="M7" s="18"/>
      <c r="N7" s="18"/>
      <c r="O7" s="10" t="b">
        <v>1</v>
      </c>
      <c r="P7" s="1"/>
      <c r="Q7" s="2"/>
    </row>
    <row r="8" spans="1:17" x14ac:dyDescent="0.4">
      <c r="A8" s="19"/>
      <c r="B8" s="20"/>
      <c r="C8" s="20"/>
      <c r="D8" s="19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0" t="b">
        <v>0</v>
      </c>
      <c r="Q8" s="2"/>
    </row>
    <row r="9" spans="1:17" x14ac:dyDescent="0.4">
      <c r="A9" s="14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0" t="b">
        <v>1</v>
      </c>
      <c r="P9" s="1"/>
      <c r="Q9" s="2"/>
    </row>
    <row r="10" spans="1:17" x14ac:dyDescent="0.4">
      <c r="A10" s="13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0" t="b">
        <v>0</v>
      </c>
      <c r="P10" s="1"/>
      <c r="Q10" s="2"/>
    </row>
    <row r="11" spans="1:17" x14ac:dyDescent="0.4">
      <c r="A11" s="13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2"/>
    </row>
    <row r="12" spans="1:17" x14ac:dyDescent="0.4">
      <c r="A12" s="3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5"/>
    </row>
    <row r="25" spans="57:88" x14ac:dyDescent="0.4">
      <c r="BE25" s="6"/>
      <c r="BF25" s="6"/>
      <c r="BG25" s="6"/>
      <c r="BH25" s="6"/>
    </row>
    <row r="26" spans="57:88" x14ac:dyDescent="0.4">
      <c r="BI26" s="6"/>
      <c r="BJ26" s="6"/>
      <c r="BK26" s="6"/>
      <c r="BL26" s="6"/>
    </row>
    <row r="27" spans="57:88" x14ac:dyDescent="0.4">
      <c r="BM27" s="6"/>
      <c r="BN27" s="6"/>
      <c r="BO27" s="6"/>
      <c r="BP27" s="6"/>
    </row>
    <row r="28" spans="57:88" x14ac:dyDescent="0.4">
      <c r="BQ28" s="6"/>
      <c r="BR28" s="6"/>
      <c r="BS28" s="6"/>
      <c r="BT28" s="6"/>
    </row>
    <row r="29" spans="57:88" x14ac:dyDescent="0.4">
      <c r="BU29" s="6"/>
      <c r="BV29" s="6"/>
      <c r="BW29" s="6"/>
      <c r="BX29" s="6"/>
    </row>
    <row r="30" spans="57:88" x14ac:dyDescent="0.4">
      <c r="BY30" s="6"/>
      <c r="BZ30" s="6"/>
      <c r="CA30" s="6"/>
      <c r="CB30" s="6"/>
    </row>
    <row r="31" spans="57:88" x14ac:dyDescent="0.4">
      <c r="CC31" s="6"/>
      <c r="CD31" s="6"/>
      <c r="CE31" s="6"/>
      <c r="CF31" s="6"/>
    </row>
    <row r="32" spans="57:88" x14ac:dyDescent="0.4">
      <c r="CG32" s="6"/>
      <c r="CH32" s="6"/>
      <c r="CI32" s="6"/>
      <c r="CJ32" s="6"/>
    </row>
    <row r="33" spans="89:152" x14ac:dyDescent="0.4">
      <c r="CK33" s="6"/>
      <c r="CL33" s="6"/>
      <c r="CM33" s="6"/>
      <c r="CN33" s="6"/>
    </row>
    <row r="34" spans="89:152" x14ac:dyDescent="0.4">
      <c r="CO34" s="6"/>
      <c r="CP34" s="6"/>
      <c r="CQ34" s="6"/>
      <c r="CR34" s="6"/>
    </row>
    <row r="35" spans="89:152" x14ac:dyDescent="0.4">
      <c r="CS35" s="6"/>
      <c r="CT35" s="6"/>
      <c r="CU35" s="6"/>
      <c r="CV35" s="6"/>
    </row>
    <row r="36" spans="89:152" x14ac:dyDescent="0.4">
      <c r="CW36" s="6"/>
      <c r="CX36" s="6"/>
      <c r="CY36" s="6"/>
      <c r="CZ36" s="6"/>
    </row>
    <row r="37" spans="89:152" x14ac:dyDescent="0.4">
      <c r="DA37" s="6"/>
      <c r="DB37" s="6"/>
      <c r="DC37" s="6"/>
      <c r="DD37" s="6"/>
    </row>
    <row r="38" spans="89:152" x14ac:dyDescent="0.4">
      <c r="DE38" s="6"/>
      <c r="DF38" s="6"/>
      <c r="DG38" s="6"/>
      <c r="DH38" s="6"/>
    </row>
    <row r="39" spans="89:152" x14ac:dyDescent="0.4">
      <c r="DI39" s="6"/>
      <c r="DJ39" s="6"/>
      <c r="DK39" s="6"/>
      <c r="DL39" s="6"/>
    </row>
    <row r="40" spans="89:152" x14ac:dyDescent="0.4">
      <c r="DM40" s="6"/>
      <c r="DN40" s="6"/>
      <c r="DO40" s="6"/>
      <c r="DP40" s="6"/>
    </row>
    <row r="41" spans="89:152" x14ac:dyDescent="0.4">
      <c r="DQ41" s="6"/>
      <c r="DR41" s="6"/>
      <c r="DS41" s="6"/>
      <c r="DT41" s="6"/>
    </row>
    <row r="42" spans="89:152" x14ac:dyDescent="0.4">
      <c r="DU42" s="6"/>
      <c r="DV42" s="6"/>
      <c r="DW42" s="6"/>
      <c r="DX42" s="6"/>
    </row>
    <row r="43" spans="89:152" x14ac:dyDescent="0.4">
      <c r="DY43" s="6"/>
      <c r="DZ43" s="6"/>
      <c r="EA43" s="6"/>
      <c r="EB43" s="6"/>
    </row>
    <row r="44" spans="89:152" x14ac:dyDescent="0.4">
      <c r="EC44" s="6"/>
      <c r="ED44" s="6"/>
      <c r="EE44" s="6"/>
      <c r="EF44" s="6"/>
    </row>
    <row r="45" spans="89:152" x14ac:dyDescent="0.4">
      <c r="EG45" s="6"/>
      <c r="EH45" s="6"/>
      <c r="EI45" s="6"/>
      <c r="EJ45" s="6"/>
    </row>
    <row r="46" spans="89:152" x14ac:dyDescent="0.4">
      <c r="EK46" s="6"/>
      <c r="EL46" s="6"/>
      <c r="EM46" s="6"/>
      <c r="EN46" s="6"/>
    </row>
    <row r="47" spans="89:152" x14ac:dyDescent="0.4">
      <c r="EO47" s="6"/>
      <c r="EP47" s="6"/>
      <c r="EQ47" s="6"/>
      <c r="ER47" s="6"/>
    </row>
    <row r="48" spans="89:152" x14ac:dyDescent="0.4">
      <c r="ES48" s="6"/>
      <c r="ET48" s="6"/>
      <c r="EU48" s="6"/>
      <c r="EV48" s="6"/>
    </row>
    <row r="49" spans="153:204" x14ac:dyDescent="0.4">
      <c r="EW49" s="6"/>
      <c r="EX49" s="6"/>
      <c r="EY49" s="6"/>
      <c r="EZ49" s="6"/>
    </row>
    <row r="50" spans="153:204" x14ac:dyDescent="0.4">
      <c r="FA50" s="6"/>
      <c r="FB50" s="6"/>
      <c r="FC50" s="6"/>
      <c r="FD50" s="6"/>
    </row>
    <row r="51" spans="153:204" x14ac:dyDescent="0.4">
      <c r="FE51" s="6"/>
      <c r="FF51" s="6"/>
      <c r="FG51" s="6"/>
      <c r="FH51" s="6"/>
    </row>
    <row r="52" spans="153:204" x14ac:dyDescent="0.4">
      <c r="FI52" s="6"/>
      <c r="FJ52" s="6"/>
      <c r="FK52" s="6"/>
      <c r="FL52" s="6"/>
    </row>
    <row r="53" spans="153:204" x14ac:dyDescent="0.4">
      <c r="FM53" s="6"/>
      <c r="FN53" s="6"/>
      <c r="FO53" s="6"/>
      <c r="FP53" s="6"/>
    </row>
    <row r="54" spans="153:204" x14ac:dyDescent="0.4">
      <c r="FQ54" s="6"/>
      <c r="FR54" s="6"/>
      <c r="FS54" s="6"/>
      <c r="FT54" s="6"/>
    </row>
    <row r="55" spans="153:204" x14ac:dyDescent="0.4">
      <c r="FU55" s="6"/>
      <c r="FV55" s="6"/>
      <c r="FW55" s="6"/>
      <c r="FX55" s="6"/>
    </row>
    <row r="56" spans="153:204" x14ac:dyDescent="0.4">
      <c r="FY56" s="6"/>
      <c r="FZ56" s="6"/>
      <c r="GA56" s="6"/>
      <c r="GB56" s="6"/>
    </row>
    <row r="57" spans="153:204" x14ac:dyDescent="0.4">
      <c r="GC57" s="6"/>
      <c r="GD57" s="6"/>
      <c r="GE57" s="6"/>
      <c r="GF57" s="6"/>
    </row>
    <row r="58" spans="153:204" x14ac:dyDescent="0.4">
      <c r="GG58" s="6"/>
      <c r="GH58" s="6"/>
      <c r="GI58" s="6"/>
      <c r="GJ58" s="6"/>
    </row>
    <row r="59" spans="153:204" x14ac:dyDescent="0.4">
      <c r="GK59" s="6"/>
      <c r="GL59" s="6"/>
      <c r="GM59" s="6"/>
      <c r="GN59" s="6"/>
    </row>
    <row r="60" spans="153:204" x14ac:dyDescent="0.4">
      <c r="GO60" s="6"/>
      <c r="GP60" s="6"/>
      <c r="GQ60" s="6"/>
      <c r="GR60" s="6"/>
    </row>
    <row r="61" spans="153:204" x14ac:dyDescent="0.4">
      <c r="GS61" s="6"/>
      <c r="GT61" s="6"/>
      <c r="GU61" s="6"/>
      <c r="GV61" s="6"/>
    </row>
  </sheetData>
  <dataConsolidate/>
  <mergeCells count="9">
    <mergeCell ref="A1:Q1"/>
    <mergeCell ref="L7:N7"/>
    <mergeCell ref="A7:A8"/>
    <mergeCell ref="B7:C8"/>
    <mergeCell ref="D7:D8"/>
    <mergeCell ref="B3:C4"/>
    <mergeCell ref="D3:D4"/>
    <mergeCell ref="A3:A4"/>
    <mergeCell ref="G3:H3"/>
  </mergeCells>
  <phoneticPr fontId="1"/>
  <dataValidations count="6">
    <dataValidation type="list" allowBlank="1" showInputMessage="1" showErrorMessage="1" sqref="J3">
      <formula1>"1,2,3,4,5,6,7,8,9,10,11,12"</formula1>
    </dataValidation>
    <dataValidation type="list" allowBlank="1" showInputMessage="1" showErrorMessage="1" sqref="L3">
      <formula1>"1,2,3,4,5,6,7,8,9,10,11,12,13,14,15,16,17,18,19,20,21,22,23,24,25,26,27,28,29,30,31"</formula1>
    </dataValidation>
    <dataValidation type="list" allowBlank="1" showInputMessage="1" showErrorMessage="1" sqref="G5">
      <formula1>"0,1,2,3,4,5,6,7,8,9,10,11,12,13,14,15,16,17,18,19,20,21,22,23"</formula1>
    </dataValidation>
    <dataValidation type="list" allowBlank="1" showInputMessage="1" showErrorMessage="1" sqref="I5">
      <formula1>"0,1,2,3,4,5,6,7,8,9,10,11,12,13,14,15,16,17,18,19,20,21,22,23,24,25,26,27,28,29,30,31,32,33,34,35,36,37,38,39,40,41,42,43,44,45,46,47,48,49,50,51,52,53,54,55,56,57,58,59"</formula1>
    </dataValidation>
    <dataValidation type="whole" allowBlank="1" showInputMessage="1" showErrorMessage="1" sqref="G3:H3">
      <formula1>YEAR(NOW())</formula1>
      <formula2>YEAR(NOW())+1</formula2>
    </dataValidation>
    <dataValidation type="whole" allowBlank="1" showInputMessage="1" showErrorMessage="1" sqref="G7">
      <formula1>1</formula1>
      <formula2>3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ntRoutes.PrintRoutes">
                <anchor moveWithCells="1" sizeWithCells="1">
                  <from>
                    <xdr:col>3</xdr:col>
                    <xdr:colOff>381000</xdr:colOff>
                    <xdr:row>9</xdr:row>
                    <xdr:rowOff>228600</xdr:rowOff>
                  </from>
                  <to>
                    <xdr:col>5</xdr:col>
                    <xdr:colOff>457200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Cells.ResetCells">
                <anchor moveWithCells="1" sizeWithCells="1">
                  <from>
                    <xdr:col>6</xdr:col>
                    <xdr:colOff>85725</xdr:colOff>
                    <xdr:row>9</xdr:row>
                    <xdr:rowOff>209550</xdr:rowOff>
                  </from>
                  <to>
                    <xdr:col>12</xdr:col>
                    <xdr:colOff>104775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useBulletTrain">
              <controlPr defaultSize="0" autoFill="0" autoLine="0" autoPict="0" macro="[0]!useBulletTrain_Click">
                <anchor moveWithCells="1">
                  <from>
                    <xdr:col>13</xdr:col>
                    <xdr:colOff>228600</xdr:colOff>
                    <xdr:row>6</xdr:row>
                    <xdr:rowOff>9525</xdr:rowOff>
                  </from>
                  <to>
                    <xdr:col>15</xdr:col>
                    <xdr:colOff>238125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Option Button 8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228600</xdr:rowOff>
                  </from>
                  <to>
                    <xdr:col>9</xdr:col>
                    <xdr:colOff>47625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Option Button 9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9525</xdr:rowOff>
                  </from>
                  <to>
                    <xdr:col>8</xdr:col>
                    <xdr:colOff>238125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Check Box 10">
              <controlPr defaultSize="0" autoFill="0" autoLine="0" autoPict="0">
                <anchor moveWithCells="1">
                  <from>
                    <xdr:col>13</xdr:col>
                    <xdr:colOff>228600</xdr:colOff>
                    <xdr:row>7</xdr:row>
                    <xdr:rowOff>228600</xdr:rowOff>
                  </from>
                  <to>
                    <xdr:col>15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excludingSome">
              <controlPr defaultSize="0" autoFill="0" autoLine="0" autoPict="0" macro="[0]!excludingSome_Click">
                <anchor moveWithCells="1">
                  <from>
                    <xdr:col>14</xdr:col>
                    <xdr:colOff>180975</xdr:colOff>
                    <xdr:row>6</xdr:row>
                    <xdr:rowOff>228600</xdr:rowOff>
                  </from>
                  <to>
                    <xdr:col>17</xdr:col>
                    <xdr:colOff>171450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Check Box 12">
              <controlPr defaultSize="0" autoFill="0" autoLine="0" autoPict="0">
                <anchor moveWithCells="1">
                  <from>
                    <xdr:col>13</xdr:col>
                    <xdr:colOff>228600</xdr:colOff>
                    <xdr:row>8</xdr:row>
                    <xdr:rowOff>209550</xdr:rowOff>
                  </from>
                  <to>
                    <xdr:col>15</xdr:col>
                    <xdr:colOff>238125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Option Button 13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228600</xdr:rowOff>
                  </from>
                  <to>
                    <xdr:col>9</xdr:col>
                    <xdr:colOff>190500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Sheets1</vt:lpstr>
      <vt:lpstr>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2018-06-15T08:46:39Z</dcterms:modified>
</cp:coreProperties>
</file>